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0" i="1"/>
  <c r="D12"/>
  <c r="D13" s="1"/>
  <c r="D47"/>
  <c r="D39"/>
  <c r="D31"/>
  <c r="D26"/>
  <c r="D14" l="1"/>
  <c r="D28"/>
  <c r="D27"/>
  <c r="D18" l="1"/>
  <c r="D16"/>
  <c r="D21"/>
  <c r="D33" l="1"/>
  <c r="D50"/>
  <c r="E50" s="1"/>
  <c r="D48" s="1"/>
  <c r="D43"/>
  <c r="E43" s="1"/>
  <c r="D41" s="1"/>
  <c r="D32"/>
  <c r="D51"/>
  <c r="E51" s="1"/>
  <c r="D49" s="1"/>
  <c r="D42"/>
  <c r="E42" s="1"/>
  <c r="D40" s="1"/>
</calcChain>
</file>

<file path=xl/sharedStrings.xml><?xml version="1.0" encoding="utf-8"?>
<sst xmlns="http://schemas.openxmlformats.org/spreadsheetml/2006/main" count="143" uniqueCount="102">
  <si>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</si>
  <si>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</si>
  <si>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</si>
  <si>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</si>
  <si>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</si>
  <si>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</si>
  <si>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</si>
  <si>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</si>
  <si>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</si>
  <si>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</si>
  <si>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</si>
  <si>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</si>
  <si>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</si>
  <si>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</si>
  <si>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</si>
  <si>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</si>
  <si>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</si>
  <si>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</si>
  <si>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</si>
  <si>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</si>
  <si>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</si>
  <si>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</si>
  <si>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</si>
  <si>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</si>
  <si>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</si>
  <si>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</si>
  <si>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</si>
  <si>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</si>
  <si>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</si>
  <si>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</si>
  <si>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</si>
  <si>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</si>
  <si>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</si>
  <si>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</si>
  <si>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</si>
  <si>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</si>
  <si>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</si>
  <si>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</si>
  <si>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</si>
  <si>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</si>
  <si>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</si>
  <si>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</si>
  <si>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</si>
  <si>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</si>
  <si>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</si>
  <si>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</si>
  <si>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</si>
  <si>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</si>
  <si>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</si>
  <si>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</si>
  <si>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</si>
  <si>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</si>
  <si>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</si>
  <si>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</si>
  <si>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</si>
  <si>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</si>
  <si>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</si>
  <si>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</si>
  <si>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</si>
  <si>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</si>
  <si>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</si>
  <si>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</si>
  <si>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</si>
  <si>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</si>
  <si>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</si>
  <si>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</si>
  <si>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</si>
  <si>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</si>
  <si>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</si>
  <si>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</si>
  <si>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</si>
  <si>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</si>
  <si>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</si>
  <si>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</si>
  <si>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</si>
  <si>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</si>
  <si>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</si>
  <si>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</si>
  <si>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</si>
  <si>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</si>
  <si>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</si>
  <si>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</si>
  <si>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</si>
  <si>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</si>
  <si>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</si>
  <si>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</si>
  <si>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</si>
  <si>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</si>
  <si>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</si>
  <si>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</si>
  <si>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</si>
  <si>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</si>
  <si>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</si>
  <si>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</si>
  <si>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</si>
  <si>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</si>
  <si>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r>
      <t xml:space="preserve">Ширина </t>
    </r>
    <r>
      <rPr>
        <b/>
        <sz val="11"/>
        <color theme="1"/>
        <rFont val="Calibri"/>
        <family val="2"/>
        <charset val="204"/>
        <scheme val="minor"/>
      </rPr>
      <t>отключения</t>
    </r>
    <r>
      <rPr>
        <sz val="11"/>
        <color theme="1"/>
        <rFont val="Calibri"/>
        <family val="2"/>
        <charset val="204"/>
        <scheme val="minor"/>
      </rPr>
      <t xml:space="preserve"> в рабочей области</t>
    </r>
  </si>
  <si>
    <r>
      <t xml:space="preserve">Старт </t>
    </r>
    <r>
      <rPr>
        <b/>
        <sz val="11"/>
        <color theme="1"/>
        <rFont val="Calibri"/>
        <family val="2"/>
        <charset val="204"/>
        <scheme val="minor"/>
      </rPr>
      <t>отключения</t>
    </r>
    <r>
      <rPr>
        <sz val="11"/>
        <color theme="1"/>
        <rFont val="Calibri"/>
        <family val="2"/>
        <charset val="204"/>
        <scheme val="minor"/>
      </rPr>
      <t xml:space="preserve"> в рабочей области</t>
    </r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</si>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</sst>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5" fillId="0" borderId="0" xfId="0" applyFont="1"/>
    <xf numFmtId="0" fontId="0" fillId="0" borderId="0" xfId="0" applyFill="1"/>
    <xf numFmtId="0" fontId="0" fillId="0" borderId="0" xfId="0" quotePrefix="1"/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58"/>
  <sheetViews>
    <sheetView tabSelected="1" topLeftCell="C1" workbookViewId="0">
      <selection activeCell="H8" sqref="H8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525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74</v>
      </c>
      <c r="T6" s="2">
        <v>481</v>
      </c>
      <c r="U6" s="1" t="s">
        <v>27</v>
      </c>
    </row>
    <row r="7" spans="1:21">
      <c r="A7" s="6" t="s">
        <v>20</v>
      </c>
      <c r="B7" t="s">
        <v>3</v>
      </c>
      <c r="D7" s="2">
        <v>50000</v>
      </c>
      <c r="E7" t="s">
        <v>2</v>
      </c>
      <c r="S7" s="1" t="s">
        <v>9</v>
      </c>
      <c r="T7" s="2">
        <v>240</v>
      </c>
      <c r="U7" s="1" t="s">
        <v>26</v>
      </c>
    </row>
    <row r="8" spans="1:21">
      <c r="A8" s="6" t="s">
        <v>21</v>
      </c>
      <c r="B8" t="s">
        <v>51</v>
      </c>
      <c r="D8" s="2">
        <v>20</v>
      </c>
      <c r="E8" t="s">
        <v>83</v>
      </c>
      <c r="S8" s="1" t="s">
        <v>76</v>
      </c>
      <c r="T8" s="2">
        <v>180</v>
      </c>
      <c r="U8" s="1" t="s">
        <v>40</v>
      </c>
    </row>
    <row r="9" spans="1:21">
      <c r="A9" s="6" t="s">
        <v>22</v>
      </c>
      <c r="B9" t="s">
        <v>82</v>
      </c>
      <c r="D9" s="2">
        <v>12</v>
      </c>
      <c r="E9" t="s">
        <v>83</v>
      </c>
      <c r="S9" s="1" t="s">
        <v>17</v>
      </c>
      <c r="T9" s="2">
        <v>216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75</v>
      </c>
      <c r="T10" s="2">
        <v>9639</v>
      </c>
      <c r="U10" s="1" t="s">
        <v>31</v>
      </c>
    </row>
    <row r="11" spans="1:21">
      <c r="A11" s="6" t="s">
        <v>24</v>
      </c>
      <c r="S11" s="1" t="s">
        <v>14</v>
      </c>
      <c r="T11" s="2">
        <v>5772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480</v>
      </c>
      <c r="S12" s="1" t="s">
        <v>98</v>
      </c>
      <c r="T12" s="2">
        <v>0</v>
      </c>
      <c r="U12" s="1" t="s">
        <v>45</v>
      </c>
    </row>
    <row r="13" spans="1:21">
      <c r="A13" s="6" t="s">
        <v>26</v>
      </c>
      <c r="B13" t="s">
        <v>81</v>
      </c>
      <c r="D13" s="3">
        <f>FLOOR(D12/2,1)</f>
        <v>240</v>
      </c>
      <c r="S13" s="1" t="s">
        <v>99</v>
      </c>
      <c r="T13" s="2">
        <v>4329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481</v>
      </c>
      <c r="S14" s="1" t="s">
        <v>77</v>
      </c>
      <c r="T14" s="2">
        <v>1443</v>
      </c>
      <c r="U14" s="1" t="s">
        <v>60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78</v>
      </c>
      <c r="T15" s="2">
        <v>2910</v>
      </c>
      <c r="U15" s="1" t="s">
        <v>61</v>
      </c>
    </row>
    <row r="16" spans="1:21">
      <c r="A16" s="6" t="s">
        <v>29</v>
      </c>
      <c r="B16" t="s">
        <v>95</v>
      </c>
      <c r="D16" s="3">
        <f>FLOOR(D14/20,1)</f>
        <v>24</v>
      </c>
      <c r="S16" s="1" t="s">
        <v>79</v>
      </c>
      <c r="T16" s="2">
        <v>2886</v>
      </c>
      <c r="U16" s="1" t="s">
        <v>72</v>
      </c>
    </row>
    <row r="17" spans="1:21">
      <c r="A17" s="6" t="s">
        <v>30</v>
      </c>
      <c r="S17" s="1" t="s">
        <v>80</v>
      </c>
      <c r="T17" s="2">
        <v>4353</v>
      </c>
      <c r="U17" s="1" t="s">
        <v>73</v>
      </c>
    </row>
    <row r="18" spans="1:21">
      <c r="A18" s="6" t="s">
        <v>31</v>
      </c>
      <c r="B18" t="s">
        <v>50</v>
      </c>
      <c r="D18" s="3">
        <f>(D14*D8)+(D8-1)</f>
        <v>9639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69</v>
      </c>
      <c r="D21" s="3">
        <f>D9*D14</f>
        <v>5772</v>
      </c>
    </row>
    <row r="22" spans="1:21">
      <c r="A22" s="6" t="s">
        <v>35</v>
      </c>
    </row>
    <row r="23" spans="1:21">
      <c r="A23" s="6" t="s">
        <v>36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15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90</v>
      </c>
      <c r="E26" t="s">
        <v>12</v>
      </c>
    </row>
    <row r="27" spans="1:21">
      <c r="A27" s="6" t="s">
        <v>40</v>
      </c>
      <c r="B27" t="s">
        <v>67</v>
      </c>
      <c r="D27" s="3">
        <f>FLOOR(D13*D24/100,1)</f>
        <v>180</v>
      </c>
    </row>
    <row r="28" spans="1:21">
      <c r="A28" s="6" t="s">
        <v>41</v>
      </c>
      <c r="B28" t="s">
        <v>68</v>
      </c>
      <c r="D28" s="3">
        <f>FLOOR(D13*D26/100,1)</f>
        <v>216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96</v>
      </c>
      <c r="D30" s="2">
        <v>75</v>
      </c>
      <c r="E30" t="s">
        <v>12</v>
      </c>
    </row>
    <row r="31" spans="1:21">
      <c r="A31" s="6" t="s">
        <v>44</v>
      </c>
      <c r="B31" t="s">
        <v>52</v>
      </c>
      <c r="D31" s="3">
        <f>D29+D30</f>
        <v>75</v>
      </c>
      <c r="E31" t="s">
        <v>12</v>
      </c>
    </row>
    <row r="32" spans="1:21">
      <c r="A32" s="6" t="s">
        <v>45</v>
      </c>
      <c r="B32" t="s">
        <v>67</v>
      </c>
      <c r="D32" s="3">
        <f>FLOOR(D21*D29/100,1)</f>
        <v>0</v>
      </c>
    </row>
    <row r="33" spans="1:6">
      <c r="A33" s="6" t="s">
        <v>46</v>
      </c>
      <c r="B33" t="s">
        <v>68</v>
      </c>
      <c r="D33" s="3">
        <f>FLOOR(D21*D31/100,1)</f>
        <v>4329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54</v>
      </c>
    </row>
    <row r="37" spans="1:6">
      <c r="A37" s="6" t="s">
        <v>57</v>
      </c>
      <c r="B37" t="s">
        <v>53</v>
      </c>
      <c r="D37" s="2">
        <v>25</v>
      </c>
      <c r="E37" t="s">
        <v>12</v>
      </c>
    </row>
    <row r="38" spans="1:6">
      <c r="A38" s="6" t="s">
        <v>58</v>
      </c>
      <c r="B38" t="s">
        <v>55</v>
      </c>
      <c r="D38" s="2">
        <v>30</v>
      </c>
      <c r="E38" t="s">
        <v>12</v>
      </c>
    </row>
    <row r="39" spans="1:6">
      <c r="A39" s="6" t="s">
        <v>59</v>
      </c>
      <c r="B39" t="s">
        <v>56</v>
      </c>
      <c r="D39" s="3">
        <f>D37+D38</f>
        <v>55</v>
      </c>
      <c r="E39" t="s">
        <v>12</v>
      </c>
    </row>
    <row r="40" spans="1:6">
      <c r="A40" s="6" t="s">
        <v>60</v>
      </c>
      <c r="B40" t="s">
        <v>67</v>
      </c>
      <c r="D40" s="3">
        <f>D14*E42</f>
        <v>1443</v>
      </c>
    </row>
    <row r="41" spans="1:6">
      <c r="A41" s="6" t="s">
        <v>61</v>
      </c>
      <c r="B41" t="s">
        <v>68</v>
      </c>
      <c r="D41" s="3">
        <f>D14*E43+D16</f>
        <v>2910</v>
      </c>
    </row>
    <row r="42" spans="1:6">
      <c r="A42" s="6" t="s">
        <v>62</v>
      </c>
      <c r="B42" t="s">
        <v>84</v>
      </c>
      <c r="D42" s="3">
        <f>FLOOR(D21*D37/100,1)</f>
        <v>1443</v>
      </c>
      <c r="E42" s="3">
        <f>FLOOR(D42/D14,1)</f>
        <v>3</v>
      </c>
      <c r="F42" s="9" t="s">
        <v>100</v>
      </c>
    </row>
    <row r="43" spans="1:6">
      <c r="A43" s="6" t="s">
        <v>63</v>
      </c>
      <c r="B43" t="s">
        <v>85</v>
      </c>
      <c r="D43" s="3">
        <f>FLOOR(D21*D39/100,1)</f>
        <v>3174</v>
      </c>
      <c r="E43" s="3">
        <f>FLOOR(D43/D14,1)</f>
        <v>6</v>
      </c>
      <c r="F43" s="9" t="s">
        <v>101</v>
      </c>
    </row>
    <row r="44" spans="1:6">
      <c r="A44" s="6" t="s">
        <v>64</v>
      </c>
      <c r="B44" s="7" t="s">
        <v>70</v>
      </c>
    </row>
    <row r="45" spans="1:6">
      <c r="A45" s="6" t="s">
        <v>65</v>
      </c>
      <c r="B45" t="s">
        <v>53</v>
      </c>
      <c r="D45" s="2">
        <v>50</v>
      </c>
      <c r="E45" t="s">
        <v>12</v>
      </c>
    </row>
    <row r="46" spans="1:6">
      <c r="A46" s="6" t="s">
        <v>66</v>
      </c>
      <c r="B46" t="s">
        <v>55</v>
      </c>
      <c r="D46" s="2">
        <v>25</v>
      </c>
      <c r="E46" t="s">
        <v>12</v>
      </c>
    </row>
    <row r="47" spans="1:6">
      <c r="A47" s="6" t="s">
        <v>71</v>
      </c>
      <c r="B47" t="s">
        <v>56</v>
      </c>
      <c r="D47" s="3">
        <f>D45+D46</f>
        <v>75</v>
      </c>
      <c r="E47" t="s">
        <v>12</v>
      </c>
    </row>
    <row r="48" spans="1:6">
      <c r="A48" s="6" t="s">
        <v>72</v>
      </c>
      <c r="B48" t="s">
        <v>67</v>
      </c>
      <c r="D48" s="3">
        <f>D14*E50</f>
        <v>2886</v>
      </c>
    </row>
    <row r="49" spans="1:6">
      <c r="A49" s="6" t="s">
        <v>73</v>
      </c>
      <c r="B49" t="s">
        <v>68</v>
      </c>
      <c r="D49" s="3">
        <f>D14*E51+D16</f>
        <v>4353</v>
      </c>
    </row>
    <row r="50" spans="1:6">
      <c r="A50" s="6" t="s">
        <v>86</v>
      </c>
      <c r="B50" t="s">
        <v>84</v>
      </c>
      <c r="D50" s="3">
        <f>FLOOR(D21*D45/100,1)</f>
        <v>2886</v>
      </c>
      <c r="E50" s="3">
        <f>FLOOR(D50/D14,1)</f>
        <v>6</v>
      </c>
      <c r="F50" s="9" t="s">
        <v>100</v>
      </c>
    </row>
    <row r="51" spans="1:6">
      <c r="A51" s="6" t="s">
        <v>87</v>
      </c>
      <c r="B51" t="s">
        <v>85</v>
      </c>
      <c r="D51" s="3">
        <f>FLOOR(D21*D47/100,1)</f>
        <v>4329</v>
      </c>
      <c r="E51" s="3">
        <f>FLOOR(D51/D14,1)</f>
        <v>9</v>
      </c>
      <c r="F51" s="9" t="s">
        <v>101</v>
      </c>
    </row>
    <row r="52" spans="1:6">
      <c r="A52" s="6" t="s">
        <v>88</v>
      </c>
    </row>
    <row r="53" spans="1:6">
      <c r="A53" s="6" t="s">
        <v>89</v>
      </c>
    </row>
    <row r="54" spans="1:6">
      <c r="A54" s="6" t="s">
        <v>90</v>
      </c>
    </row>
    <row r="55" spans="1:6">
      <c r="A55" s="6" t="s">
        <v>91</v>
      </c>
    </row>
    <row r="56" spans="1:6">
      <c r="A56" s="6" t="s">
        <v>92</v>
      </c>
    </row>
    <row r="57" spans="1:6">
      <c r="A57" s="6" t="s">
        <v>93</v>
      </c>
    </row>
    <row r="58" spans="1:6">
      <c r="A58" s="6" t="s">
        <v>94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2018-12-15T13:07:30Z</dcterms:modified>
</cp:coreProperties>
</file>