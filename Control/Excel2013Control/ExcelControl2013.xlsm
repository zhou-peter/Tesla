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Workbook" defaultThemeVersion="124226"/>
  <mc:AlternateContent xmlns:mc="http://schemas.openxmlformats.org/markup-compatibility/2006">
    <mc:Choice Requires="x15">
      <x15ac:absPath xmlns:x15ac="http://schemas.microsoft.com/office/spreadsheetml/2010/11/ac" url="C:\Tesla\Control\Excel2013Control\"/>
    </mc:Choice>
  </mc:AlternateContent>
  <bookViews>
    <workbookView xWindow="240" yWindow="75" windowWidth="21015" windowHeight="8205"/>
  </bookViews>
  <sheets>
    <sheet name="Tool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D12" i="1" l="1"/>
  <c r="D10" i="1"/>
  <c r="D13" i="1"/>
  <c r="D47" i="1"/>
  <c r="D39" i="1"/>
  <c r="D31" i="1"/>
  <c r="D26" i="1"/>
  <c r="D14" i="1" l="1"/>
  <c r="D28" i="1"/>
  <c r="D27" i="1"/>
  <c r="D21" i="1" l="1"/>
  <c r="D42" i="1" s="1"/>
  <c r="E42" i="1" s="1"/>
  <c r="D16" i="1"/>
  <c r="D18" i="1"/>
  <c r="D33" i="1" l="1"/>
  <c r="D50" i="1"/>
  <c r="E50" i="1" s="1"/>
  <c r="D48" i="1" s="1"/>
  <c r="D43" i="1"/>
  <c r="E43" i="1" s="1"/>
  <c r="D41" i="1" s="1"/>
  <c r="D32" i="1"/>
  <c r="D51" i="1"/>
  <c r="E51" i="1" s="1"/>
  <c r="D49" i="1" s="1"/>
  <c r="D40" i="1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<sst xmlns="http://schemas.openxmlformats.org/spreadsheetml/2006/main" count="144" uniqueCount="103">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</sst>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applyFill="1"/>
    <xf numFmtId="0" fontId="0" fillId="0" borderId="0" xfId="0" quotePrefix="1"/>
    <xf numFmtId="0" fontId="3" fillId="0" borderId="2" xfId="0" applyFont="1" applyBorder="1" applyAlignment="1">
      <alignment horizontal="center"/>
    </xf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17</xdr:row>
          <xdr:rowOff>123825</xdr:rowOff>
        </xdr:from>
        <xdr:to>
          <xdr:col>20</xdr:col>
          <xdr:colOff>581025</xdr:colOff>
          <xdr:row>18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 из области расчетов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ool"/>
  <dimension ref="A1:U58"/>
  <sheetViews>
    <sheetView tabSelected="1" workbookViewId="0">
      <selection activeCell="T25" sqref="T25"/>
    </sheetView>
  </sheetViews>
  <sheetFormatPr defaultRowHeight="15" x14ac:dyDescent="0.25"/>
  <cols>
    <col min="3" max="3" width="18.42578125" customWidth="1"/>
    <col min="7" max="7" width="9.140625" customWidth="1"/>
    <col min="19" max="19" width="27.42578125" customWidth="1"/>
  </cols>
  <sheetData>
    <row r="1" spans="1:21" ht="15.75" thickBot="1" x14ac:dyDescent="0.3">
      <c r="A1" s="8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 ht="15.75" thickBot="1" x14ac:dyDescent="0.3">
      <c r="A2" s="11" t="s">
        <v>0</v>
      </c>
      <c r="M2" s="1"/>
      <c r="N2" t="s">
        <v>4</v>
      </c>
      <c r="P2" s="4" t="s">
        <v>8</v>
      </c>
    </row>
    <row r="3" spans="1:21" x14ac:dyDescent="0.25">
      <c r="M3" s="2"/>
      <c r="N3" t="s">
        <v>5</v>
      </c>
    </row>
    <row r="4" spans="1:21" x14ac:dyDescent="0.25">
      <c r="M4" s="3"/>
      <c r="N4" t="s">
        <v>6</v>
      </c>
      <c r="U4" s="5"/>
    </row>
    <row r="5" spans="1:21" x14ac:dyDescent="0.25">
      <c r="M5" s="1">
        <v>65535</v>
      </c>
      <c r="N5" t="s">
        <v>7</v>
      </c>
      <c r="S5" s="10" t="s">
        <v>18</v>
      </c>
      <c r="T5" s="10"/>
    </row>
    <row r="6" spans="1:21" x14ac:dyDescent="0.25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121</v>
      </c>
      <c r="U6" s="1" t="s">
        <v>27</v>
      </c>
    </row>
    <row r="7" spans="1:21" x14ac:dyDescent="0.25">
      <c r="A7" s="6" t="s">
        <v>20</v>
      </c>
      <c r="B7" t="s">
        <v>3</v>
      </c>
      <c r="D7" s="2">
        <v>200000</v>
      </c>
      <c r="E7" t="s">
        <v>2</v>
      </c>
      <c r="S7" s="1" t="s">
        <v>9</v>
      </c>
      <c r="T7" s="2">
        <v>60</v>
      </c>
      <c r="U7" s="1" t="s">
        <v>26</v>
      </c>
    </row>
    <row r="8" spans="1:21" x14ac:dyDescent="0.25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45</v>
      </c>
      <c r="U8" s="1" t="s">
        <v>40</v>
      </c>
    </row>
    <row r="9" spans="1:21" x14ac:dyDescent="0.25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51</v>
      </c>
      <c r="U9" s="1" t="s">
        <v>41</v>
      </c>
    </row>
    <row r="10" spans="1:21" x14ac:dyDescent="0.25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1219</v>
      </c>
      <c r="U10" s="1" t="s">
        <v>31</v>
      </c>
    </row>
    <row r="11" spans="1:21" x14ac:dyDescent="0.25">
      <c r="A11" s="6" t="s">
        <v>24</v>
      </c>
      <c r="S11" s="1" t="s">
        <v>14</v>
      </c>
      <c r="T11" s="2">
        <v>726</v>
      </c>
      <c r="U11" s="1" t="s">
        <v>34</v>
      </c>
    </row>
    <row r="12" spans="1:21" x14ac:dyDescent="0.25">
      <c r="A12" s="6" t="s">
        <v>25</v>
      </c>
      <c r="B12" t="s">
        <v>10</v>
      </c>
      <c r="D12" s="3">
        <f>D6/D7</f>
        <v>120</v>
      </c>
      <c r="S12" s="1" t="s">
        <v>93</v>
      </c>
      <c r="T12" s="2">
        <v>0</v>
      </c>
      <c r="U12" s="1" t="s">
        <v>45</v>
      </c>
    </row>
    <row r="13" spans="1:21" x14ac:dyDescent="0.25">
      <c r="A13" s="6" t="s">
        <v>26</v>
      </c>
      <c r="B13" t="s">
        <v>78</v>
      </c>
      <c r="D13" s="3">
        <f>FLOOR(D12/2,1)</f>
        <v>60</v>
      </c>
      <c r="S13" s="1" t="s">
        <v>94</v>
      </c>
      <c r="T13" s="2">
        <v>145</v>
      </c>
      <c r="U13" s="1" t="s">
        <v>46</v>
      </c>
    </row>
    <row r="14" spans="1:21" x14ac:dyDescent="0.25">
      <c r="A14" s="6" t="s">
        <v>27</v>
      </c>
      <c r="B14" t="s">
        <v>11</v>
      </c>
      <c r="D14" s="3">
        <f>(D13*2)+1</f>
        <v>121</v>
      </c>
      <c r="S14" s="1" t="s">
        <v>74</v>
      </c>
      <c r="T14" s="2">
        <v>121</v>
      </c>
      <c r="U14" s="1" t="s">
        <v>58</v>
      </c>
    </row>
    <row r="15" spans="1:21" x14ac:dyDescent="0.25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365</v>
      </c>
      <c r="U15" s="1" t="s">
        <v>59</v>
      </c>
    </row>
    <row r="16" spans="1:21" x14ac:dyDescent="0.25">
      <c r="A16" s="6" t="s">
        <v>29</v>
      </c>
      <c r="B16" t="s">
        <v>92</v>
      </c>
      <c r="D16" s="3">
        <f>FLOOR(D14/50,1)</f>
        <v>2</v>
      </c>
      <c r="S16" s="1" t="s">
        <v>76</v>
      </c>
      <c r="T16" s="2">
        <v>363</v>
      </c>
      <c r="U16" s="1" t="s">
        <v>69</v>
      </c>
    </row>
    <row r="17" spans="1:21" x14ac:dyDescent="0.25">
      <c r="A17" s="6" t="s">
        <v>30</v>
      </c>
      <c r="S17" s="1" t="s">
        <v>77</v>
      </c>
      <c r="T17" s="2">
        <v>486</v>
      </c>
      <c r="U17" s="1" t="s">
        <v>70</v>
      </c>
    </row>
    <row r="18" spans="1:21" x14ac:dyDescent="0.25">
      <c r="A18" s="6" t="s">
        <v>31</v>
      </c>
      <c r="B18" t="s">
        <v>50</v>
      </c>
      <c r="D18" s="3">
        <f>(D14*D8)+(D8-1)</f>
        <v>1219</v>
      </c>
    </row>
    <row r="19" spans="1:21" x14ac:dyDescent="0.25">
      <c r="A19" s="6" t="s">
        <v>32</v>
      </c>
    </row>
    <row r="20" spans="1:21" x14ac:dyDescent="0.25">
      <c r="A20" s="6" t="s">
        <v>33</v>
      </c>
    </row>
    <row r="21" spans="1:21" x14ac:dyDescent="0.25">
      <c r="A21" s="6" t="s">
        <v>34</v>
      </c>
      <c r="B21" t="s">
        <v>67</v>
      </c>
      <c r="D21" s="3">
        <f>D9*D14</f>
        <v>726</v>
      </c>
    </row>
    <row r="22" spans="1:21" x14ac:dyDescent="0.25">
      <c r="A22" s="6" t="s">
        <v>35</v>
      </c>
    </row>
    <row r="23" spans="1:21" x14ac:dyDescent="0.25">
      <c r="A23" s="6" t="s">
        <v>36</v>
      </c>
      <c r="B23" s="7" t="s">
        <v>102</v>
      </c>
    </row>
    <row r="24" spans="1:21" x14ac:dyDescent="0.25">
      <c r="A24" s="6" t="s">
        <v>37</v>
      </c>
      <c r="B24" t="s">
        <v>15</v>
      </c>
      <c r="D24" s="2">
        <v>75</v>
      </c>
      <c r="E24" t="s">
        <v>12</v>
      </c>
    </row>
    <row r="25" spans="1:21" x14ac:dyDescent="0.25">
      <c r="A25" s="6" t="s">
        <v>38</v>
      </c>
      <c r="B25" t="s">
        <v>16</v>
      </c>
      <c r="D25" s="2">
        <v>10</v>
      </c>
      <c r="E25" t="s">
        <v>12</v>
      </c>
    </row>
    <row r="26" spans="1:21" x14ac:dyDescent="0.25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 x14ac:dyDescent="0.25">
      <c r="A27" s="6" t="s">
        <v>40</v>
      </c>
      <c r="B27" t="s">
        <v>65</v>
      </c>
      <c r="D27" s="3">
        <f>FLOOR(D13*D24/100,1)</f>
        <v>45</v>
      </c>
    </row>
    <row r="28" spans="1:21" x14ac:dyDescent="0.25">
      <c r="A28" s="6" t="s">
        <v>41</v>
      </c>
      <c r="B28" t="s">
        <v>66</v>
      </c>
      <c r="D28" s="3">
        <f>FLOOR(D13*D26/100,1)</f>
        <v>51</v>
      </c>
    </row>
    <row r="29" spans="1:21" x14ac:dyDescent="0.25">
      <c r="A29" s="6" t="s">
        <v>42</v>
      </c>
      <c r="B29" t="s">
        <v>97</v>
      </c>
      <c r="D29" s="2">
        <v>0</v>
      </c>
      <c r="E29" t="s">
        <v>12</v>
      </c>
    </row>
    <row r="30" spans="1:21" x14ac:dyDescent="0.25">
      <c r="A30" s="6" t="s">
        <v>43</v>
      </c>
      <c r="B30" t="s">
        <v>98</v>
      </c>
      <c r="D30" s="2">
        <v>20</v>
      </c>
      <c r="E30" t="s">
        <v>12</v>
      </c>
    </row>
    <row r="31" spans="1:21" x14ac:dyDescent="0.25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 x14ac:dyDescent="0.25">
      <c r="A32" s="6" t="s">
        <v>45</v>
      </c>
      <c r="B32" t="s">
        <v>65</v>
      </c>
      <c r="D32" s="3">
        <f>FLOOR(D21*D29/100,1)</f>
        <v>0</v>
      </c>
    </row>
    <row r="33" spans="1:6" x14ac:dyDescent="0.25">
      <c r="A33" s="6" t="s">
        <v>46</v>
      </c>
      <c r="B33" t="s">
        <v>66</v>
      </c>
      <c r="D33" s="3">
        <f>FLOOR(D21*D31/100,1)</f>
        <v>145</v>
      </c>
    </row>
    <row r="34" spans="1:6" x14ac:dyDescent="0.25">
      <c r="A34" s="6" t="s">
        <v>47</v>
      </c>
    </row>
    <row r="35" spans="1:6" x14ac:dyDescent="0.25">
      <c r="A35" s="6" t="s">
        <v>48</v>
      </c>
    </row>
    <row r="36" spans="1:6" x14ac:dyDescent="0.25">
      <c r="A36" s="6" t="s">
        <v>49</v>
      </c>
      <c r="B36" s="7" t="s">
        <v>100</v>
      </c>
    </row>
    <row r="37" spans="1:6" x14ac:dyDescent="0.25">
      <c r="A37" s="6" t="s">
        <v>55</v>
      </c>
      <c r="B37" t="s">
        <v>52</v>
      </c>
      <c r="D37" s="2">
        <v>25</v>
      </c>
      <c r="E37" t="s">
        <v>12</v>
      </c>
    </row>
    <row r="38" spans="1:6" x14ac:dyDescent="0.25">
      <c r="A38" s="6" t="s">
        <v>56</v>
      </c>
      <c r="B38" t="s">
        <v>53</v>
      </c>
      <c r="D38" s="2">
        <v>30</v>
      </c>
      <c r="E38" t="s">
        <v>12</v>
      </c>
    </row>
    <row r="39" spans="1:6" x14ac:dyDescent="0.25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 x14ac:dyDescent="0.25">
      <c r="A40" s="6" t="s">
        <v>58</v>
      </c>
      <c r="B40" t="s">
        <v>65</v>
      </c>
      <c r="D40" s="3">
        <f>D14*E42</f>
        <v>121</v>
      </c>
    </row>
    <row r="41" spans="1:6" x14ac:dyDescent="0.25">
      <c r="A41" s="6" t="s">
        <v>59</v>
      </c>
      <c r="B41" t="s">
        <v>66</v>
      </c>
      <c r="D41" s="3">
        <f>D14*E43+D16</f>
        <v>365</v>
      </c>
    </row>
    <row r="42" spans="1:6" x14ac:dyDescent="0.25">
      <c r="A42" s="6" t="s">
        <v>60</v>
      </c>
      <c r="B42" t="s">
        <v>81</v>
      </c>
      <c r="D42" s="3">
        <f>FLOOR(D21*D37/100,1)</f>
        <v>181</v>
      </c>
      <c r="E42" s="3">
        <f>FLOOR(D42/D14,1)</f>
        <v>1</v>
      </c>
      <c r="F42" s="9" t="s">
        <v>95</v>
      </c>
    </row>
    <row r="43" spans="1:6" x14ac:dyDescent="0.25">
      <c r="A43" s="6" t="s">
        <v>61</v>
      </c>
      <c r="B43" t="s">
        <v>82</v>
      </c>
      <c r="D43" s="3">
        <f>FLOOR(D21*D39/100,1)</f>
        <v>399</v>
      </c>
      <c r="E43" s="3">
        <f>FLOOR(D43/D14,1)</f>
        <v>3</v>
      </c>
      <c r="F43" s="9" t="s">
        <v>96</v>
      </c>
    </row>
    <row r="44" spans="1:6" x14ac:dyDescent="0.25">
      <c r="A44" s="6" t="s">
        <v>62</v>
      </c>
      <c r="B44" s="7" t="s">
        <v>101</v>
      </c>
    </row>
    <row r="45" spans="1:6" x14ac:dyDescent="0.25">
      <c r="A45" s="6" t="s">
        <v>63</v>
      </c>
      <c r="B45" t="s">
        <v>52</v>
      </c>
      <c r="D45" s="2">
        <v>50</v>
      </c>
      <c r="E45" t="s">
        <v>12</v>
      </c>
    </row>
    <row r="46" spans="1:6" x14ac:dyDescent="0.25">
      <c r="A46" s="6" t="s">
        <v>64</v>
      </c>
      <c r="B46" t="s">
        <v>53</v>
      </c>
      <c r="D46" s="2">
        <v>25</v>
      </c>
      <c r="E46" t="s">
        <v>12</v>
      </c>
    </row>
    <row r="47" spans="1:6" x14ac:dyDescent="0.25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 x14ac:dyDescent="0.25">
      <c r="A48" s="6" t="s">
        <v>69</v>
      </c>
      <c r="B48" t="s">
        <v>65</v>
      </c>
      <c r="D48" s="3">
        <f>D14*E50</f>
        <v>363</v>
      </c>
    </row>
    <row r="49" spans="1:6" x14ac:dyDescent="0.25">
      <c r="A49" s="6" t="s">
        <v>70</v>
      </c>
      <c r="B49" t="s">
        <v>66</v>
      </c>
      <c r="D49" s="3">
        <f>D14*E51+D16</f>
        <v>486</v>
      </c>
    </row>
    <row r="50" spans="1:6" x14ac:dyDescent="0.25">
      <c r="A50" s="6" t="s">
        <v>83</v>
      </c>
      <c r="B50" t="s">
        <v>81</v>
      </c>
      <c r="D50" s="3">
        <f>FLOOR(D21*D45/100,1)</f>
        <v>363</v>
      </c>
      <c r="E50" s="3">
        <f>FLOOR(D50/D14,1)</f>
        <v>3</v>
      </c>
      <c r="F50" s="9" t="s">
        <v>95</v>
      </c>
    </row>
    <row r="51" spans="1:6" x14ac:dyDescent="0.25">
      <c r="A51" s="6" t="s">
        <v>84</v>
      </c>
      <c r="B51" t="s">
        <v>82</v>
      </c>
      <c r="D51" s="3">
        <f>FLOOR(D21*D47/100,1)</f>
        <v>544</v>
      </c>
      <c r="E51" s="3">
        <f>FLOOR(D51/D14,1)</f>
        <v>4</v>
      </c>
      <c r="F51" s="9" t="s">
        <v>96</v>
      </c>
    </row>
    <row r="52" spans="1:6" x14ac:dyDescent="0.25">
      <c r="A52" s="6" t="s">
        <v>85</v>
      </c>
    </row>
    <row r="53" spans="1:6" x14ac:dyDescent="0.25">
      <c r="A53" s="6" t="s">
        <v>86</v>
      </c>
    </row>
    <row r="54" spans="1:6" x14ac:dyDescent="0.25">
      <c r="A54" s="6" t="s">
        <v>87</v>
      </c>
    </row>
    <row r="55" spans="1:6" x14ac:dyDescent="0.25">
      <c r="A55" s="6" t="s">
        <v>88</v>
      </c>
    </row>
    <row r="56" spans="1:6" x14ac:dyDescent="0.25">
      <c r="A56" s="6" t="s">
        <v>89</v>
      </c>
    </row>
    <row r="57" spans="1:6" x14ac:dyDescent="0.25">
      <c r="A57" s="6" t="s">
        <v>90</v>
      </c>
    </row>
    <row r="58" spans="1:6" x14ac:dyDescent="0.25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ool.CopyCalculations">
                <anchor moveWithCells="1" sizeWithCells="1">
                  <from>
                    <xdr:col>18</xdr:col>
                    <xdr:colOff>28575</xdr:colOff>
                    <xdr:row>17</xdr:row>
                    <xdr:rowOff>123825</xdr:rowOff>
                  </from>
                  <to>
                    <xdr:col>20</xdr:col>
                    <xdr:colOff>581025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2018-12-18T13:52:57Z</dcterms:modified>
</cp:coreProperties>
</file>