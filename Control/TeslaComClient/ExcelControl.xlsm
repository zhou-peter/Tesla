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Workbook" defaultThemeVersion="124226"/>
  <bookViews>
    <workbookView xWindow="240" yWindow="75" windowWidth="21015" windowHeight="8205"/>
  </bookViews>
  <sheets>
    <sheet name="Tool" sheetId="1" r:id="rId1"/>
  </sheets>
  <functionGroups/>
  <calcPr calcId="124519"/>
</workbook>
</file>

<file path=xl/calcChain.xml><?xml version="1.0" encoding="utf-8"?>
<calcChain xmlns="http://schemas.openxmlformats.org/spreadsheetml/2006/main">
  <c r="E42" i="1"/>
  <c r="D42"/>
  <c r="D12"/>
  <c r="D10"/>
  <c r="D13"/>
  <c r="D47"/>
  <c r="D39"/>
  <c r="D31"/>
  <c r="D26"/>
  <c r="D14" l="1"/>
  <c r="D28"/>
  <c r="D27"/>
  <c r="D21" l="1"/>
  <c r="D16"/>
  <c r="D18"/>
  <c r="D33" l="1"/>
  <c r="D50"/>
  <c r="E50" s="1"/>
  <c r="D48" s="1"/>
  <c r="D43"/>
  <c r="E43" s="1"/>
  <c r="D41" s="1"/>
  <c r="D32"/>
  <c r="D51"/>
  <c r="E51" s="1"/>
  <c r="D49" s="1"/>
  <c r="D40"/>
</calcChain>
</file>

<file path=xl/sharedStrings.xml><?xml version="1.0" encoding="utf-8"?>
<sst xmlns="http://schemas.openxmlformats.org/spreadsheetml/2006/main" count="144" uniqueCount="103">
  <si>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</si>
  <si>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</si>
  <si>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</si>
  <si>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</si>
  <si>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</si>
  <si>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</si>
  <si>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</si>
  <si>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</si>
  <si>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</si>
  <si>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</si>
  <si>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</si>
  <si>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</si>
  <si>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</si>
  <si>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</si>
  <si>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</si>
  <si>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Старт пролома (на полпериоде несущей)</t>
  </si>
  <si>
    <t>Ширина пролома</t>
  </si>
  <si>
    <t>Стоп пролома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</si>
  <si>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</si>
  <si>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</si>
  <si>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</si>
  <si>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</si>
  <si>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</si>
  <si>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</si>
  <si>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</si>
  <si>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</si>
  <si>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</si>
  <si>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</si>
  <si>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</si>
  <si>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</si>
  <si>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</si>
  <si>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</si>
  <si>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</si>
  <si>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</si>
  <si>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</si>
  <si>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</si>
  <si>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</si>
  <si>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</si>
  <si>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</si>
  <si>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</si>
  <si>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</si>
  <si>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</si>
  <si>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</si>
  <si>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</si>
  <si>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</si>
  <si>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</si>
  <si>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</si>
  <si>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</si>
  <si>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</si>
  <si>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</si>
  <si>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</si>
  <si>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</si>
  <si>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пропуска в рабочей области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</si>
  <si>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</si>
  <si>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</si>
  <si>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</si>
  <si>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</si>
  <si>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</si>
  <si>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</si>
  <si>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</si>
  <si>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</si>
  <si>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</si>
  <si>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</si>
  <si>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</si>
  <si>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</si>
  <si>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</si>
  <si>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</si>
  <si>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</si>
  <si>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AZQ42</t>
  </si>
  <si>
    <t>AZQ43</t>
  </si>
  <si>
    <t>AZQ44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</si>
  <si>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</si>
  <si>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</si>
  <si>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</si>
  <si>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</si>
  <si>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</si>
  <si>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Отступ пропуск нижнее плечо</t>
  </si>
  <si>
    <t>Стоп пропуска нижнее плеча</t>
  </si>
  <si>
    <t>Период проломов (оно же скважность несущей)</t>
  </si>
  <si>
    <t xml:space="preserve">Рабочая область пачки </t>
  </si>
  <si>
    <t>штук</t>
  </si>
  <si>
    <t>Старт не округленный</t>
  </si>
  <si>
    <t>Стоп не округленный</t>
  </si>
  <si>
    <t>AZQ45</t>
  </si>
  <si>
    <t>AZQ46</t>
  </si>
  <si>
    <t>AZQ47</t>
  </si>
  <si>
    <t>AZQ48</t>
  </si>
  <si>
    <t>AZQ49</t>
  </si>
  <si>
    <t>AZQ50</t>
  </si>
  <si>
    <t>AZQ51</t>
  </si>
  <si>
    <t>AZQ52</t>
  </si>
  <si>
    <t>AZQ53</t>
  </si>
  <si>
    <t>Стоповый хвостик :-)</t>
  </si>
  <si>
    <t>Отступ отключения пролома в рабочей области пачки</t>
  </si>
  <si>
    <t>Стоп отключения пролома в рабочей области пачки</t>
  </si>
  <si>
    <t>- на нем начнется</t>
  </si>
  <si>
    <t>- на нем закончится</t>
  </si>
  <si>
    <t>Зона бездействия проломов старт</t>
  </si>
  <si>
    <t>Ширина зоны бездействия</t>
  </si>
  <si>
    <t>Стоп зоны бездействия в рабочей области</t>
  </si>
  <si>
    <t>Пропуски - Верхнее плечо</t>
  </si>
  <si>
    <t>Пропуски - Нижнее плечо</t>
  </si>
  <si>
    <t>Проломы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</si>
</sst>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2" borderId="0" xfId="0" applyFill="1"/>
    <xf numFmtId="0" fontId="0" fillId="0" borderId="1" xfId="0" applyBorder="1"/>
    <xf numFmtId="0" fontId="0" fillId="3" borderId="0" xfId="0" applyFill="1"/>
    <xf numFmtId="0" fontId="1" fillId="0" borderId="0" xfId="0" applyFont="1"/>
    <xf numFmtId="0" fontId="2" fillId="0" borderId="0" xfId="0" applyFont="1"/>
    <xf numFmtId="0" fontId="0" fillId="4" borderId="0" xfId="0" applyFill="1"/>
    <xf numFmtId="0" fontId="3" fillId="0" borderId="0" xfId="0" applyFont="1"/>
    <xf numFmtId="0" fontId="0" fillId="0" borderId="0" xfId="0" applyFill="1"/>
    <xf numFmtId="0" fontId="0" fillId="0" borderId="0" xfId="0" quotePrefix="1"/>
    <xf numFmtId="0" fontId="3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361950</xdr:colOff>
      <xdr:row>5</xdr:row>
      <xdr:rowOff>28575</xdr:rowOff>
    </xdr:from>
    <xdr:to>
      <xdr:col>17</xdr:col>
      <xdr:colOff>352425</xdr:colOff>
      <xdr:row>38</xdr:row>
      <xdr:rowOff>95250</xdr:rowOff>
    </xdr:to>
    <xdr:pic>
      <xdr:nvPicPr>
        <xdr:cNvPr id="1035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3419475" y="981075"/>
          <a:ext cx="7915275" cy="63531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ool"/>
  <dimension ref="A1:U58"/>
  <sheetViews>
    <sheetView tabSelected="1" workbookViewId="0">
      <selection activeCell="T25" sqref="T25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8">
        <v>115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1"/>
      <c r="N2" t="s">
        <v>4</v>
      </c>
      <c r="P2" s="4" t="s">
        <v>8</v>
      </c>
    </row>
    <row r="3" spans="1:21">
      <c r="M3" s="2"/>
      <c r="N3" t="s">
        <v>5</v>
      </c>
    </row>
    <row r="4" spans="1:21">
      <c r="M4" s="3"/>
      <c r="N4" t="s">
        <v>6</v>
      </c>
      <c r="U4" s="5"/>
    </row>
    <row r="5" spans="1:21">
      <c r="M5" s="1">
        <v>65535</v>
      </c>
      <c r="N5" t="s">
        <v>7</v>
      </c>
      <c r="S5" s="10" t="s">
        <v>18</v>
      </c>
      <c r="T5" s="10"/>
    </row>
    <row r="6" spans="1:21">
      <c r="A6" s="6" t="s">
        <v>19</v>
      </c>
      <c r="B6" t="s">
        <v>1</v>
      </c>
      <c r="D6" s="1">
        <v>24000000</v>
      </c>
      <c r="E6" t="s">
        <v>2</v>
      </c>
      <c r="S6" s="1" t="s">
        <v>71</v>
      </c>
      <c r="T6" s="2">
        <v>99</v>
      </c>
      <c r="U6" s="1" t="s">
        <v>27</v>
      </c>
    </row>
    <row r="7" spans="1:21">
      <c r="A7" s="6" t="s">
        <v>20</v>
      </c>
      <c r="B7" t="s">
        <v>3</v>
      </c>
      <c r="D7" s="2">
        <v>240333</v>
      </c>
      <c r="E7" t="s">
        <v>2</v>
      </c>
      <c r="S7" s="1" t="s">
        <v>9</v>
      </c>
      <c r="T7" s="2">
        <v>49</v>
      </c>
      <c r="U7" s="1" t="s">
        <v>26</v>
      </c>
    </row>
    <row r="8" spans="1:21">
      <c r="A8" s="6" t="s">
        <v>21</v>
      </c>
      <c r="B8" t="s">
        <v>51</v>
      </c>
      <c r="D8" s="2">
        <v>10</v>
      </c>
      <c r="E8" t="s">
        <v>80</v>
      </c>
      <c r="S8" s="1" t="s">
        <v>73</v>
      </c>
      <c r="T8" s="2">
        <v>36</v>
      </c>
      <c r="U8" s="1" t="s">
        <v>40</v>
      </c>
    </row>
    <row r="9" spans="1:21">
      <c r="A9" s="6" t="s">
        <v>22</v>
      </c>
      <c r="B9" t="s">
        <v>79</v>
      </c>
      <c r="D9" s="2">
        <v>6</v>
      </c>
      <c r="E9" t="s">
        <v>80</v>
      </c>
      <c r="S9" s="1" t="s">
        <v>17</v>
      </c>
      <c r="T9" s="2">
        <v>41</v>
      </c>
      <c r="U9" s="1" t="s">
        <v>41</v>
      </c>
    </row>
    <row r="10" spans="1:21">
      <c r="A10" s="6" t="s">
        <v>23</v>
      </c>
      <c r="D10" s="3">
        <f>D9*100/D8</f>
        <v>60</v>
      </c>
      <c r="E10" t="s">
        <v>12</v>
      </c>
      <c r="S10" s="1" t="s">
        <v>72</v>
      </c>
      <c r="T10" s="2">
        <v>999</v>
      </c>
      <c r="U10" s="1" t="s">
        <v>31</v>
      </c>
    </row>
    <row r="11" spans="1:21">
      <c r="A11" s="6" t="s">
        <v>24</v>
      </c>
      <c r="S11" s="1" t="s">
        <v>14</v>
      </c>
      <c r="T11" s="2">
        <v>594</v>
      </c>
      <c r="U11" s="1" t="s">
        <v>34</v>
      </c>
    </row>
    <row r="12" spans="1:21">
      <c r="A12" s="6" t="s">
        <v>25</v>
      </c>
      <c r="B12" t="s">
        <v>10</v>
      </c>
      <c r="D12" s="3">
        <f>D6/D7</f>
        <v>99.861442248879683</v>
      </c>
      <c r="S12" s="1" t="s">
        <v>93</v>
      </c>
      <c r="T12" s="2">
        <v>0</v>
      </c>
      <c r="U12" s="1" t="s">
        <v>45</v>
      </c>
    </row>
    <row r="13" spans="1:21">
      <c r="A13" s="6" t="s">
        <v>26</v>
      </c>
      <c r="B13" t="s">
        <v>78</v>
      </c>
      <c r="D13" s="3">
        <f>FLOOR(D12/2,1)</f>
        <v>49</v>
      </c>
      <c r="S13" s="1" t="s">
        <v>94</v>
      </c>
      <c r="T13" s="2">
        <v>118</v>
      </c>
      <c r="U13" s="1" t="s">
        <v>46</v>
      </c>
    </row>
    <row r="14" spans="1:21">
      <c r="A14" s="6" t="s">
        <v>27</v>
      </c>
      <c r="B14" t="s">
        <v>11</v>
      </c>
      <c r="D14" s="3">
        <f>(D13*2)+1</f>
        <v>99</v>
      </c>
      <c r="S14" s="1" t="s">
        <v>74</v>
      </c>
      <c r="T14" s="2">
        <v>99</v>
      </c>
      <c r="U14" s="1" t="s">
        <v>58</v>
      </c>
    </row>
    <row r="15" spans="1:21">
      <c r="A15" s="6" t="s">
        <v>28</v>
      </c>
      <c r="B15" t="s">
        <v>13</v>
      </c>
      <c r="D15" s="1">
        <v>50</v>
      </c>
      <c r="E15" t="s">
        <v>12</v>
      </c>
      <c r="S15" s="1" t="s">
        <v>75</v>
      </c>
      <c r="T15" s="2">
        <v>298</v>
      </c>
      <c r="U15" s="1" t="s">
        <v>59</v>
      </c>
    </row>
    <row r="16" spans="1:21">
      <c r="A16" s="6" t="s">
        <v>29</v>
      </c>
      <c r="B16" t="s">
        <v>92</v>
      </c>
      <c r="D16" s="3">
        <f>FLOOR(D14/50,1)</f>
        <v>1</v>
      </c>
      <c r="S16" s="1" t="s">
        <v>76</v>
      </c>
      <c r="T16" s="2">
        <v>297</v>
      </c>
      <c r="U16" s="1" t="s">
        <v>69</v>
      </c>
    </row>
    <row r="17" spans="1:21">
      <c r="A17" s="6" t="s">
        <v>30</v>
      </c>
      <c r="S17" s="1" t="s">
        <v>77</v>
      </c>
      <c r="T17" s="2">
        <v>397</v>
      </c>
      <c r="U17" s="1" t="s">
        <v>70</v>
      </c>
    </row>
    <row r="18" spans="1:21">
      <c r="A18" s="6" t="s">
        <v>31</v>
      </c>
      <c r="B18" t="s">
        <v>50</v>
      </c>
      <c r="D18" s="3">
        <f>(D14*D8)+(D8-1)</f>
        <v>999</v>
      </c>
    </row>
    <row r="19" spans="1:21">
      <c r="A19" s="6" t="s">
        <v>32</v>
      </c>
    </row>
    <row r="20" spans="1:21">
      <c r="A20" s="6" t="s">
        <v>33</v>
      </c>
    </row>
    <row r="21" spans="1:21">
      <c r="A21" s="6" t="s">
        <v>34</v>
      </c>
      <c r="B21" t="s">
        <v>67</v>
      </c>
      <c r="D21" s="3">
        <f>D9*D14</f>
        <v>594</v>
      </c>
    </row>
    <row r="22" spans="1:21">
      <c r="A22" s="6" t="s">
        <v>35</v>
      </c>
    </row>
    <row r="23" spans="1:21">
      <c r="A23" s="6" t="s">
        <v>36</v>
      </c>
      <c r="B23" s="7" t="s">
        <v>102</v>
      </c>
    </row>
    <row r="24" spans="1:21">
      <c r="A24" s="6" t="s">
        <v>37</v>
      </c>
      <c r="B24" t="s">
        <v>15</v>
      </c>
      <c r="D24" s="2">
        <v>75</v>
      </c>
      <c r="E24" t="s">
        <v>12</v>
      </c>
    </row>
    <row r="25" spans="1:21">
      <c r="A25" s="6" t="s">
        <v>38</v>
      </c>
      <c r="B25" t="s">
        <v>16</v>
      </c>
      <c r="D25" s="2">
        <v>10</v>
      </c>
      <c r="E25" t="s">
        <v>12</v>
      </c>
    </row>
    <row r="26" spans="1:21">
      <c r="A26" s="6" t="s">
        <v>39</v>
      </c>
      <c r="B26" t="s">
        <v>17</v>
      </c>
      <c r="D26" s="3">
        <f>D24+D25</f>
        <v>85</v>
      </c>
      <c r="E26" t="s">
        <v>12</v>
      </c>
    </row>
    <row r="27" spans="1:21">
      <c r="A27" s="6" t="s">
        <v>40</v>
      </c>
      <c r="B27" t="s">
        <v>65</v>
      </c>
      <c r="D27" s="3">
        <f>FLOOR(D13*D24/100,1)</f>
        <v>36</v>
      </c>
    </row>
    <row r="28" spans="1:21">
      <c r="A28" s="6" t="s">
        <v>41</v>
      </c>
      <c r="B28" t="s">
        <v>66</v>
      </c>
      <c r="D28" s="3">
        <f>FLOOR(D13*D26/100,1)</f>
        <v>41</v>
      </c>
    </row>
    <row r="29" spans="1:21">
      <c r="A29" s="6" t="s">
        <v>42</v>
      </c>
      <c r="B29" t="s">
        <v>97</v>
      </c>
      <c r="D29" s="2">
        <v>0</v>
      </c>
      <c r="E29" t="s">
        <v>12</v>
      </c>
    </row>
    <row r="30" spans="1:21">
      <c r="A30" s="6" t="s">
        <v>43</v>
      </c>
      <c r="B30" t="s">
        <v>98</v>
      </c>
      <c r="D30" s="2">
        <v>20</v>
      </c>
      <c r="E30" t="s">
        <v>12</v>
      </c>
    </row>
    <row r="31" spans="1:21">
      <c r="A31" s="6" t="s">
        <v>44</v>
      </c>
      <c r="B31" t="s">
        <v>99</v>
      </c>
      <c r="D31" s="3">
        <f>D29+D30</f>
        <v>20</v>
      </c>
      <c r="E31" t="s">
        <v>12</v>
      </c>
    </row>
    <row r="32" spans="1:21">
      <c r="A32" s="6" t="s">
        <v>45</v>
      </c>
      <c r="B32" t="s">
        <v>65</v>
      </c>
      <c r="D32" s="3">
        <f>FLOOR(D21*D29/100,1)</f>
        <v>0</v>
      </c>
    </row>
    <row r="33" spans="1:6">
      <c r="A33" s="6" t="s">
        <v>46</v>
      </c>
      <c r="B33" t="s">
        <v>66</v>
      </c>
      <c r="D33" s="3">
        <f>FLOOR(D21*D31/100,1)</f>
        <v>118</v>
      </c>
    </row>
    <row r="34" spans="1:6">
      <c r="A34" s="6" t="s">
        <v>47</v>
      </c>
    </row>
    <row r="35" spans="1:6">
      <c r="A35" s="6" t="s">
        <v>48</v>
      </c>
    </row>
    <row r="36" spans="1:6">
      <c r="A36" s="6" t="s">
        <v>49</v>
      </c>
      <c r="B36" s="7" t="s">
        <v>100</v>
      </c>
    </row>
    <row r="37" spans="1:6">
      <c r="A37" s="6" t="s">
        <v>55</v>
      </c>
      <c r="B37" t="s">
        <v>52</v>
      </c>
      <c r="D37" s="2">
        <v>25</v>
      </c>
      <c r="E37" t="s">
        <v>12</v>
      </c>
    </row>
    <row r="38" spans="1:6">
      <c r="A38" s="6" t="s">
        <v>56</v>
      </c>
      <c r="B38" t="s">
        <v>53</v>
      </c>
      <c r="D38" s="2">
        <v>30</v>
      </c>
      <c r="E38" t="s">
        <v>12</v>
      </c>
    </row>
    <row r="39" spans="1:6">
      <c r="A39" s="6" t="s">
        <v>57</v>
      </c>
      <c r="B39" t="s">
        <v>54</v>
      </c>
      <c r="D39" s="3">
        <f>D37+D38</f>
        <v>55</v>
      </c>
      <c r="E39" t="s">
        <v>12</v>
      </c>
    </row>
    <row r="40" spans="1:6">
      <c r="A40" s="6" t="s">
        <v>58</v>
      </c>
      <c r="B40" t="s">
        <v>65</v>
      </c>
      <c r="D40" s="3">
        <f>D14*E42</f>
        <v>99</v>
      </c>
    </row>
    <row r="41" spans="1:6">
      <c r="A41" s="6" t="s">
        <v>59</v>
      </c>
      <c r="B41" t="s">
        <v>66</v>
      </c>
      <c r="D41" s="3">
        <f>D14*E43+D16</f>
        <v>298</v>
      </c>
    </row>
    <row r="42" spans="1:6">
      <c r="A42" s="6" t="s">
        <v>60</v>
      </c>
      <c r="B42" t="s">
        <v>81</v>
      </c>
      <c r="D42" s="3">
        <f>FLOOR(D21*D37/100,1)</f>
        <v>148</v>
      </c>
      <c r="E42" s="3">
        <f>FLOOR(D42/D14,1)</f>
        <v>1</v>
      </c>
      <c r="F42" s="9" t="s">
        <v>95</v>
      </c>
    </row>
    <row r="43" spans="1:6">
      <c r="A43" s="6" t="s">
        <v>61</v>
      </c>
      <c r="B43" t="s">
        <v>82</v>
      </c>
      <c r="D43" s="3">
        <f>FLOOR(D21*D39/100,1)</f>
        <v>326</v>
      </c>
      <c r="E43" s="3">
        <f>FLOOR(D43/D14,1)</f>
        <v>3</v>
      </c>
      <c r="F43" s="9" t="s">
        <v>96</v>
      </c>
    </row>
    <row r="44" spans="1:6">
      <c r="A44" s="6" t="s">
        <v>62</v>
      </c>
      <c r="B44" s="7" t="s">
        <v>101</v>
      </c>
    </row>
    <row r="45" spans="1:6">
      <c r="A45" s="6" t="s">
        <v>63</v>
      </c>
      <c r="B45" t="s">
        <v>52</v>
      </c>
      <c r="D45" s="2">
        <v>50</v>
      </c>
      <c r="E45" t="s">
        <v>12</v>
      </c>
    </row>
    <row r="46" spans="1:6">
      <c r="A46" s="6" t="s">
        <v>64</v>
      </c>
      <c r="B46" t="s">
        <v>53</v>
      </c>
      <c r="D46" s="2">
        <v>25</v>
      </c>
      <c r="E46" t="s">
        <v>12</v>
      </c>
    </row>
    <row r="47" spans="1:6">
      <c r="A47" s="6" t="s">
        <v>68</v>
      </c>
      <c r="B47" t="s">
        <v>54</v>
      </c>
      <c r="D47" s="3">
        <f>D45+D46</f>
        <v>75</v>
      </c>
      <c r="E47" t="s">
        <v>12</v>
      </c>
    </row>
    <row r="48" spans="1:6">
      <c r="A48" s="6" t="s">
        <v>69</v>
      </c>
      <c r="B48" t="s">
        <v>65</v>
      </c>
      <c r="D48" s="3">
        <f>D14*E50</f>
        <v>297</v>
      </c>
    </row>
    <row r="49" spans="1:6">
      <c r="A49" s="6" t="s">
        <v>70</v>
      </c>
      <c r="B49" t="s">
        <v>66</v>
      </c>
      <c r="D49" s="3">
        <f>D14*E51+D16</f>
        <v>397</v>
      </c>
    </row>
    <row r="50" spans="1:6">
      <c r="A50" s="6" t="s">
        <v>83</v>
      </c>
      <c r="B50" t="s">
        <v>81</v>
      </c>
      <c r="D50" s="3">
        <f>FLOOR(D21*D45/100,1)</f>
        <v>297</v>
      </c>
      <c r="E50" s="3">
        <f>FLOOR(D50/D14,1)</f>
        <v>3</v>
      </c>
      <c r="F50" s="9" t="s">
        <v>95</v>
      </c>
    </row>
    <row r="51" spans="1:6">
      <c r="A51" s="6" t="s">
        <v>84</v>
      </c>
      <c r="B51" t="s">
        <v>82</v>
      </c>
      <c r="D51" s="3">
        <f>FLOOR(D21*D47/100,1)</f>
        <v>445</v>
      </c>
      <c r="E51" s="3">
        <f>FLOOR(D51/D14,1)</f>
        <v>4</v>
      </c>
      <c r="F51" s="9" t="s">
        <v>96</v>
      </c>
    </row>
    <row r="52" spans="1:6">
      <c r="A52" s="6" t="s">
        <v>85</v>
      </c>
    </row>
    <row r="53" spans="1:6">
      <c r="A53" s="6" t="s">
        <v>86</v>
      </c>
    </row>
    <row r="54" spans="1:6">
      <c r="A54" s="6" t="s">
        <v>87</v>
      </c>
    </row>
    <row r="55" spans="1:6">
      <c r="A55" s="6" t="s">
        <v>88</v>
      </c>
    </row>
    <row r="56" spans="1:6">
      <c r="A56" s="6" t="s">
        <v>89</v>
      </c>
    </row>
    <row r="57" spans="1:6">
      <c r="A57" s="6" t="s">
        <v>90</v>
      </c>
    </row>
    <row r="58" spans="1:6">
      <c r="A58" s="6" t="s">
        <v>91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Tool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2018-12-19T09:00:05Z</dcterms:modified>
</cp:coreProperties>
</file>