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  <sheet name="Search" sheetId="2" r:id="rId2"/>
  </sheets>
  <functionGroups/>
  <calcPr calcId="124519"/>
</workbook>
</file>

<file path=xl/calcChain.xml><?xml version="1.0" encoding="utf-8"?>
<calcChain xmlns="http://schemas.openxmlformats.org/spreadsheetml/2006/main">
  <c r="M6" i="2"/>
  <c r="D13"/>
  <c r="D11"/>
  <c r="D12" i="1"/>
  <c r="D13" s="1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<sst xmlns="http://schemas.openxmlformats.org/spreadsheetml/2006/main" count="164" uniqueCount="118">
  <si>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</si>
  <si>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</si>
  <si>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</si>
  <si>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</si>
  <si>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</si>
  <si>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</si>
  <si>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</si>
  <si>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</si>
  <si>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</si>
  <si>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</si>
  <si>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</si>
  <si>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</si>
  <si>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</si>
  <si>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</si>
  <si>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</si>
  <si>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</si>
  <si>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</si>
  <si>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</si>
  <si>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</si>
  <si>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</si>
  <si>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</si>
  <si>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</si>
  <si>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</si>
  <si>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</si>
  <si>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</si>
  <si>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</si>
  <si>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</si>
  <si>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</si>
  <si>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</si>
  <si>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</si>
  <si>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</si>
  <si>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</si>
  <si>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</si>
  <si>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</si>
  <si>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</si>
  <si>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</si>
  <si>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</si>
  <si>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</si>
  <si>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</si>
  <si>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</si>
  <si>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</si>
  <si>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</si>
  <si>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</si>
  <si>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</si>
  <si>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</si>
  <si>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</si>
  <si>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</si>
  <si>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</si>
  <si>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</si>
  <si>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</si>
  <si>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</si>
  <si>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</si>
  <si>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</si>
  <si>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</si>
  <si>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</si>
  <si>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</si>
  <si>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</si>
  <si>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</si>
  <si>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</si>
  <si>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</si>
  <si>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</si>
  <si>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</si>
  <si>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</si>
  <si>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</si>
  <si>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</si>
  <si>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</si>
  <si>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</si>
  <si>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</si>
  <si>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</si>
  <si>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</si>
  <si>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</si>
  <si>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</si>
  <si>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</si>
  <si>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</si>
  <si>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</si>
  <si>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</si>
  <si>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</si>
  <si>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</si>
  <si>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</si>
  <si>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</si>
  <si>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</si>
  <si>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</si>
  <si>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</si>
  <si>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</si>
  <si>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</si>
  <si>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</si>
  <si>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</si>
  <si>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</si>
  <si>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</si>
  <si>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</si>
  <si>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</si>
  <si>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</si>
  <si>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</si>
  <si>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</si>
  <si>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</si>
  <si>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</si>
  <si>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</si>
  <si>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</si>
  <si>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</si>
  <si>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</si>
  <si>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</si>
  <si>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</si>
  <si>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</si>
  <si>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</si>
  <si>
    <t>Поиск резонанса питающиего трансформатора</t>
  </si>
  <si>
    <t>Частота [От</t>
  </si>
  <si>
    <t>Частота До]</t>
  </si>
  <si>
    <t>Период [От</t>
  </si>
  <si>
    <t>Период До]</t>
  </si>
  <si>
    <t>Задержка на шаге</t>
  </si>
  <si>
    <t>мс</t>
  </si>
  <si>
    <t>Затрачиваемое время</t>
  </si>
  <si>
    <t>секунд</t>
  </si>
  <si>
    <t>Текущее значение</t>
  </si>
  <si>
    <t>Текущая частота</t>
  </si>
  <si>
    <t>Часотоа</t>
  </si>
  <si>
    <t xml:space="preserve">Гц соответствует </t>
  </si>
  <si>
    <t>периоду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</si>
</sst>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0" fillId="0" borderId="0" xfId="0" applyFill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B7" sqref="B7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9">
        <v>0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83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41</v>
      </c>
      <c r="U7" s="1" t="s">
        <v>26</v>
      </c>
    </row>
    <row r="8" spans="1:21">
      <c r="A8" s="6" t="s">
        <v>21</v>
      </c>
      <c r="B8" t="s">
        <v>51</v>
      </c>
      <c r="D8" s="2">
        <v>200</v>
      </c>
      <c r="E8" t="s">
        <v>80</v>
      </c>
      <c r="S8" s="1" t="s">
        <v>73</v>
      </c>
      <c r="T8" s="2">
        <v>30</v>
      </c>
      <c r="U8" s="1" t="s">
        <v>40</v>
      </c>
    </row>
    <row r="9" spans="1:21">
      <c r="A9" s="6" t="s">
        <v>22</v>
      </c>
      <c r="B9" t="s">
        <v>79</v>
      </c>
      <c r="D9" s="2">
        <v>30</v>
      </c>
      <c r="E9" t="s">
        <v>80</v>
      </c>
      <c r="S9" s="1" t="s">
        <v>17</v>
      </c>
      <c r="T9" s="2">
        <v>34</v>
      </c>
      <c r="U9" s="1" t="s">
        <v>41</v>
      </c>
    </row>
    <row r="10" spans="1:21">
      <c r="A10" s="6" t="s">
        <v>23</v>
      </c>
      <c r="D10" s="3">
        <f>D9*100/D8</f>
        <v>15</v>
      </c>
      <c r="E10" t="s">
        <v>12</v>
      </c>
      <c r="S10" s="1" t="s">
        <v>72</v>
      </c>
      <c r="T10" s="2">
        <v>16799</v>
      </c>
      <c r="U10" s="1" t="s">
        <v>31</v>
      </c>
    </row>
    <row r="11" spans="1:21">
      <c r="A11" s="6" t="s">
        <v>24</v>
      </c>
      <c r="S11" s="1" t="s">
        <v>14</v>
      </c>
      <c r="T11" s="2">
        <v>2490</v>
      </c>
      <c r="U11" s="1" t="s">
        <v>34</v>
      </c>
    </row>
    <row r="12" spans="1:21">
      <c r="A12" s="6" t="s">
        <v>25</v>
      </c>
      <c r="B12" t="s">
        <v>10</v>
      </c>
      <c r="D12" s="3">
        <f>(D6/D7)</f>
        <v>83.217868540733065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41</v>
      </c>
      <c r="S13" s="1" t="s">
        <v>94</v>
      </c>
      <c r="T13" s="2">
        <v>1743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83</v>
      </c>
      <c r="S14" s="1" t="s">
        <v>74</v>
      </c>
      <c r="T14" s="2">
        <v>581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2491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1245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240963.85542168675</v>
      </c>
      <c r="S17" s="1" t="s">
        <v>77</v>
      </c>
      <c r="T17" s="2">
        <v>1827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16799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2490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30</v>
      </c>
    </row>
    <row r="28" spans="1:21">
      <c r="A28" s="6" t="s">
        <v>41</v>
      </c>
      <c r="B28" t="s">
        <v>66</v>
      </c>
      <c r="D28" s="3">
        <f>FLOOR(D13*D26/100,1)</f>
        <v>34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1743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75</v>
      </c>
      <c r="E38" t="s">
        <v>12</v>
      </c>
    </row>
    <row r="39" spans="1:6">
      <c r="A39" s="6" t="s">
        <v>57</v>
      </c>
      <c r="B39" t="s">
        <v>54</v>
      </c>
      <c r="D39" s="3">
        <f>D37+D38</f>
        <v>100</v>
      </c>
      <c r="E39" t="s">
        <v>12</v>
      </c>
    </row>
    <row r="40" spans="1:6">
      <c r="A40" s="6" t="s">
        <v>58</v>
      </c>
      <c r="B40" t="s">
        <v>65</v>
      </c>
      <c r="D40" s="3">
        <f>D14*E42</f>
        <v>581</v>
      </c>
    </row>
    <row r="41" spans="1:6">
      <c r="A41" s="6" t="s">
        <v>59</v>
      </c>
      <c r="B41" t="s">
        <v>66</v>
      </c>
      <c r="D41" s="3">
        <f>D14*E43+D16</f>
        <v>2491</v>
      </c>
    </row>
    <row r="42" spans="1:6">
      <c r="A42" s="6" t="s">
        <v>60</v>
      </c>
      <c r="B42" t="s">
        <v>81</v>
      </c>
      <c r="D42" s="3">
        <f>FLOOR(D21*D37/100,1)</f>
        <v>622</v>
      </c>
      <c r="E42" s="3">
        <f>FLOOR(D42/D14,1)</f>
        <v>7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2490</v>
      </c>
      <c r="E43" s="3">
        <f>FLOOR(D43/D14,1)</f>
        <v>30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1245</v>
      </c>
    </row>
    <row r="49" spans="1:6">
      <c r="A49" s="6" t="s">
        <v>70</v>
      </c>
      <c r="B49" t="s">
        <v>66</v>
      </c>
      <c r="D49" s="3">
        <f>D14*E51+D16</f>
        <v>1827</v>
      </c>
    </row>
    <row r="50" spans="1:6">
      <c r="A50" s="6" t="s">
        <v>83</v>
      </c>
      <c r="B50" t="s">
        <v>81</v>
      </c>
      <c r="D50" s="3">
        <f>FLOOR(D21*D45/100,1)</f>
        <v>1245</v>
      </c>
      <c r="E50" s="3">
        <f>FLOOR(D50/D14,1)</f>
        <v>15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1867</v>
      </c>
      <c r="E51" s="3">
        <f>FLOOR(D51/D14,1)</f>
        <v>22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B3:N13"/>
  <sheetViews>
    <sheetView topLeftCell="A4" workbookViewId="0">
      <selection activeCell="G19" sqref="G19"/>
    </sheetView>
  </sheetViews>
  <sheetFormatPr defaultRowHeight="15"/>
  <sheetData>
    <row r="3" spans="2:14">
      <c r="B3" t="s">
        <v>104</v>
      </c>
    </row>
    <row r="5" spans="2:14">
      <c r="B5" t="s">
        <v>1</v>
      </c>
      <c r="D5" s="1">
        <v>20000000</v>
      </c>
      <c r="E5" t="s">
        <v>2</v>
      </c>
      <c r="L5" t="s">
        <v>115</v>
      </c>
      <c r="M5">
        <v>1125</v>
      </c>
      <c r="N5" t="s">
        <v>116</v>
      </c>
    </row>
    <row r="6" spans="2:14">
      <c r="B6" t="s">
        <v>105</v>
      </c>
      <c r="D6" s="2">
        <v>10000</v>
      </c>
      <c r="E6" t="s">
        <v>2</v>
      </c>
      <c r="L6" t="s">
        <v>117</v>
      </c>
      <c r="M6">
        <f>D5/M5</f>
        <v>17777.777777777777</v>
      </c>
    </row>
    <row r="7" spans="2:14">
      <c r="B7" t="s">
        <v>106</v>
      </c>
      <c r="D7" s="2">
        <v>20000</v>
      </c>
      <c r="E7" t="s">
        <v>2</v>
      </c>
    </row>
    <row r="8" spans="2:14">
      <c r="B8" t="s">
        <v>109</v>
      </c>
      <c r="D8" s="2">
        <v>50</v>
      </c>
      <c r="E8" t="s">
        <v>110</v>
      </c>
    </row>
    <row r="9" spans="2:14">
      <c r="B9" t="s">
        <v>107</v>
      </c>
      <c r="D9" s="1">
        <v>19000</v>
      </c>
    </row>
    <row r="10" spans="2:14">
      <c r="B10" t="s">
        <v>108</v>
      </c>
      <c r="D10" s="1">
        <v>16000</v>
      </c>
    </row>
    <row r="11" spans="2:14">
      <c r="B11" t="s">
        <v>111</v>
      </c>
      <c r="D11" s="1">
        <f>(ABS(D9-D10)*(D8/1000))</f>
        <v>150</v>
      </c>
      <c r="E11" t="s">
        <v>112</v>
      </c>
    </row>
    <row r="12" spans="2:14">
      <c r="B12" t="s">
        <v>113</v>
      </c>
      <c r="D12" s="7">
        <v>0</v>
      </c>
    </row>
    <row r="13" spans="2:14">
      <c r="B13" t="s">
        <v>114</v>
      </c>
      <c r="D13" s="1" t="str">
        <f>IF(D12&gt;0,D5/D12,"")</f>
        <v/>
      </c>
      <c r="E13" t="s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Tool</vt:lpstr>
      <vt:lpstr>Search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2019-01-04T05:48:25Z</dcterms:modified>
</cp:coreProperties>
</file>